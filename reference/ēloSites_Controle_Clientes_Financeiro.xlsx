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entes" sheetId="1" state="visible" r:id="rId3"/>
    <sheet name="Financeiro" sheetId="2" state="visible" r:id="rId4"/>
    <sheet name="Pipelin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<sst xmlns="http://schemas.openxmlformats.org/spreadsheetml/2006/main" count="85" uniqueCount="64">
  <si>
    <t xml:space="preserve">Cliente/Empresa</t>
  </si>
  <si>
    <t xml:space="preserve">CPF/CNPJ</t>
  </si>
  <si>
    <t xml:space="preserve">WhatsApp</t>
  </si>
  <si>
    <t xml:space="preserve">E-mail</t>
  </si>
  <si>
    <t xml:space="preserve">Segmento</t>
  </si>
  <si>
    <t xml:space="preserve">Projeto</t>
  </si>
  <si>
    <t xml:space="preserve">Domínio</t>
  </si>
  <si>
    <t xml:space="preserve">Hospedagem</t>
  </si>
  <si>
    <t xml:space="preserve">Repositório GitHub</t>
  </si>
  <si>
    <t xml:space="preserve">Data contratação</t>
  </si>
  <si>
    <t xml:space="preserve">Data prevista entrega</t>
  </si>
  <si>
    <t xml:space="preserve">Situação do projeto</t>
  </si>
  <si>
    <t xml:space="preserve">Manutenção contratada?</t>
  </si>
  <si>
    <t xml:space="preserve">Início manutenção</t>
  </si>
  <si>
    <t xml:space="preserve">Observações</t>
  </si>
  <si>
    <t xml:space="preserve">João Vitor (JV Salvaia Personal)</t>
  </si>
  <si>
    <t xml:space="preserve">Personal trainer</t>
  </si>
  <si>
    <t xml:space="preserve">Landing page</t>
  </si>
  <si>
    <t xml:space="preserve">jvsalvaiapersonal.netlify.app</t>
  </si>
  <si>
    <t xml:space="preserve">Netlify</t>
  </si>
  <si>
    <t xml:space="preserve">Concluído / publicado</t>
  </si>
  <si>
    <t xml:space="preserve">Não</t>
  </si>
  <si>
    <t xml:space="preserve">Exemplo — preencher com os dados reais</t>
  </si>
  <si>
    <t xml:space="preserve">Toledo Segurança (Toledo Eventos LTDA)</t>
  </si>
  <si>
    <t xml:space="preserve">5511913714556</t>
  </si>
  <si>
    <t xml:space="preserve">contato@toledoseguranca.com.br</t>
  </si>
  <si>
    <t xml:space="preserve">Segurança para eventos</t>
  </si>
  <si>
    <t xml:space="preserve">Site institucional</t>
  </si>
  <si>
    <t xml:space="preserve">toledoseguranca.netlify.app</t>
  </si>
  <si>
    <t xml:space="preserve">A definir</t>
  </si>
  <si>
    <t xml:space="preserve">Pagamento R$850 em 2x: 10/10 e 20/10. Manutenção fechada em R$150/mês (exceção à regra de 20%).</t>
  </si>
  <si>
    <t xml:space="preserve">Garagem Mailasque (Fábio)</t>
  </si>
  <si>
    <t xml:space="preserve">5511995625484</t>
  </si>
  <si>
    <t xml:space="preserve">fabcamargo76@gmail.com</t>
  </si>
  <si>
    <t xml:space="preserve">Funilaria e pintura</t>
  </si>
  <si>
    <t xml:space="preserve">Netlify (pendente)</t>
  </si>
  <si>
    <t xml:space="preserve">Protótipo em aprovação do cliente</t>
  </si>
  <si>
    <t xml:space="preserve">Aguardando aprovação/pagamento</t>
  </si>
  <si>
    <t xml:space="preserve">Júlio César</t>
  </si>
  <si>
    <t xml:space="preserve">Jardinagem e paisagismo</t>
  </si>
  <si>
    <t xml:space="preserve">Aguardando resposta do briefing</t>
  </si>
  <si>
    <t xml:space="preserve">Indicação do Toledo</t>
  </si>
  <si>
    <t xml:space="preserve">Cliente</t>
  </si>
  <si>
    <t xml:space="preserve">Valor orçado (R$)</t>
  </si>
  <si>
    <t xml:space="preserve">Entrada recebida (R$)</t>
  </si>
  <si>
    <t xml:space="preserve">Restante a receber (R$)</t>
  </si>
  <si>
    <t xml:space="preserve">Manutenção mensal (R$)</t>
  </si>
  <si>
    <t xml:space="preserve">Forma de pagamento</t>
  </si>
  <si>
    <t xml:space="preserve">Status</t>
  </si>
  <si>
    <t xml:space="preserve">Pix</t>
  </si>
  <si>
    <t xml:space="preserve">Pago</t>
  </si>
  <si>
    <t xml:space="preserve">Toledo Segurança</t>
  </si>
  <si>
    <t xml:space="preserve">Pix (2x: 10/10 e 20/10)</t>
  </si>
  <si>
    <t xml:space="preserve">Em andamento</t>
  </si>
  <si>
    <t xml:space="preserve">Negociação</t>
  </si>
  <si>
    <t xml:space="preserve">Aguardando briefing</t>
  </si>
  <si>
    <t xml:space="preserve">TOTAL</t>
  </si>
  <si>
    <t xml:space="preserve">Valores de exemplo com base no que você informou (João Vitor R$500 pago; Toledo R$850, 50% recebido; Garagem Mailasque ~R$500 + R$100 manutenção, em negociação; Júlio César R$850, aguardando briefing). Ajuste células conforme a realidade de cada contrato.</t>
  </si>
  <si>
    <t xml:space="preserve">Etapa atual</t>
  </si>
  <si>
    <t xml:space="preserve">Entrega / Manutenção</t>
  </si>
  <si>
    <t xml:space="preserve">Publicação / Entrega</t>
  </si>
  <si>
    <t xml:space="preserve">Aprovação</t>
  </si>
  <si>
    <t xml:space="preserve">Briefing</t>
  </si>
  <si>
    <t xml:space="preserve">Etapas do fluxo: Lead / Proposta / Contrato / Pagamento (entrada) / Briefing / Desenvolvimento / Aprovação / Pagamento final / Publicação / Entrega / Manutenção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</si>
</sst>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R$ &quot;#,##0.00;&quot;(R$ &quot;#,##0.00\);\-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6B728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5" min="1" style="1" width="22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23.25" hidden="false" customHeight="true" outlineLevel="0" collapsed="false">
      <c r="A2" s="3" t="s">
        <v>15</v>
      </c>
      <c r="B2" s="3"/>
      <c r="C2" s="3"/>
      <c r="D2" s="3"/>
      <c r="E2" s="3" t="s">
        <v>16</v>
      </c>
      <c r="F2" s="3" t="s">
        <v>17</v>
      </c>
      <c r="G2" s="3" t="s">
        <v>18</v>
      </c>
      <c r="H2" s="3" t="s">
        <v>19</v>
      </c>
      <c r="I2" s="3"/>
      <c r="J2" s="3"/>
      <c r="K2" s="3"/>
      <c r="L2" s="3" t="s">
        <v>20</v>
      </c>
      <c r="M2" s="3" t="s">
        <v>21</v>
      </c>
      <c r="N2" s="3"/>
      <c r="O2" s="3" t="s">
        <v>22</v>
      </c>
    </row>
    <row r="3" customFormat="false" ht="23.25" hidden="false" customHeight="true" outlineLevel="0" collapsed="false">
      <c r="A3" s="3" t="s">
        <v>23</v>
      </c>
      <c r="B3" s="3"/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19</v>
      </c>
      <c r="I3" s="3"/>
      <c r="J3" s="3"/>
      <c r="K3" s="3"/>
      <c r="L3" s="3" t="s">
        <v>20</v>
      </c>
      <c r="M3" s="3" t="s">
        <v>29</v>
      </c>
      <c r="N3" s="3"/>
      <c r="O3" s="3" t="s">
        <v>30</v>
      </c>
    </row>
    <row r="4" customFormat="false" ht="23.25" hidden="false" customHeight="true" outlineLevel="0" collapsed="false">
      <c r="A4" s="3" t="s">
        <v>31</v>
      </c>
      <c r="B4" s="3"/>
      <c r="C4" s="3" t="s">
        <v>32</v>
      </c>
      <c r="D4" s="3" t="s">
        <v>33</v>
      </c>
      <c r="E4" s="3" t="s">
        <v>34</v>
      </c>
      <c r="F4" s="3" t="s">
        <v>17</v>
      </c>
      <c r="G4" s="3"/>
      <c r="H4" s="3" t="s">
        <v>35</v>
      </c>
      <c r="I4" s="3"/>
      <c r="J4" s="3"/>
      <c r="K4" s="3"/>
      <c r="L4" s="3" t="s">
        <v>36</v>
      </c>
      <c r="M4" s="3" t="s">
        <v>29</v>
      </c>
      <c r="N4" s="3"/>
      <c r="O4" s="3" t="s">
        <v>37</v>
      </c>
    </row>
    <row r="5" customFormat="false" ht="23.25" hidden="false" customHeight="true" outlineLevel="0" collapsed="false">
      <c r="A5" s="3" t="s">
        <v>38</v>
      </c>
      <c r="B5" s="3"/>
      <c r="C5" s="3"/>
      <c r="D5" s="3"/>
      <c r="E5" s="3" t="s">
        <v>39</v>
      </c>
      <c r="F5" s="3" t="s">
        <v>27</v>
      </c>
      <c r="G5" s="3"/>
      <c r="H5" s="3"/>
      <c r="I5" s="3"/>
      <c r="J5" s="3"/>
      <c r="K5" s="3"/>
      <c r="L5" s="3" t="s">
        <v>40</v>
      </c>
      <c r="M5" s="3" t="s">
        <v>29</v>
      </c>
      <c r="N5" s="3"/>
      <c r="O5" s="3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1" width="20"/>
  </cols>
  <sheetData>
    <row r="1" customFormat="false" ht="30" hidden="false" customHeight="true" outlineLevel="0" collapsed="false">
      <c r="A1" s="2" t="s">
        <v>42</v>
      </c>
      <c r="B1" s="2" t="s">
        <v>5</v>
      </c>
      <c r="C1" s="2" t="s">
        <v>43</v>
      </c>
      <c r="D1" s="2" t="s">
        <v>44</v>
      </c>
      <c r="E1" s="2" t="s">
        <v>45</v>
      </c>
      <c r="F1" s="2" t="s">
        <v>46</v>
      </c>
      <c r="G1" s="2" t="s">
        <v>47</v>
      </c>
      <c r="H1" s="2" t="s">
        <v>48</v>
      </c>
    </row>
    <row r="2" customFormat="false" ht="23.25" hidden="false" customHeight="true" outlineLevel="0" collapsed="false">
      <c r="A2" s="3" t="s">
        <v>15</v>
      </c>
      <c r="B2" s="3" t="s">
        <v>17</v>
      </c>
      <c r="C2" s="4" t="n">
        <v>500</v>
      </c>
      <c r="D2" s="4" t="n">
        <v>500</v>
      </c>
      <c r="E2" s="4" t="n">
        <f aca="false">IF(AND(ISNUMBER(C2),ISNUMBER(D2)),C2-D2,"")</f>
        <v>0</v>
      </c>
      <c r="F2" s="4" t="n">
        <v>0</v>
      </c>
      <c r="G2" s="3" t="s">
        <v>49</v>
      </c>
      <c r="H2" s="3" t="s">
        <v>50</v>
      </c>
    </row>
    <row r="3" customFormat="false" ht="15" hidden="false" customHeight="true" outlineLevel="0" collapsed="false">
      <c r="A3" s="3" t="s">
        <v>51</v>
      </c>
      <c r="B3" s="3" t="s">
        <v>27</v>
      </c>
      <c r="C3" s="4" t="n">
        <v>850</v>
      </c>
      <c r="D3" s="4" t="n">
        <v>425</v>
      </c>
      <c r="E3" s="4" t="n">
        <f aca="false">IF(AND(ISNUMBER(C3),ISNUMBER(D3)),C3-D3,"")</f>
        <v>425</v>
      </c>
      <c r="F3" s="4" t="n">
        <v>150</v>
      </c>
      <c r="G3" s="3" t="s">
        <v>52</v>
      </c>
      <c r="H3" s="3" t="s">
        <v>53</v>
      </c>
    </row>
    <row r="4" customFormat="false" ht="23.25" hidden="false" customHeight="true" outlineLevel="0" collapsed="false">
      <c r="A4" s="3" t="s">
        <v>31</v>
      </c>
      <c r="B4" s="3" t="s">
        <v>17</v>
      </c>
      <c r="C4" s="4" t="n">
        <v>500</v>
      </c>
      <c r="D4" s="4"/>
      <c r="E4" s="4" t="str">
        <f aca="false">IF(AND(ISNUMBER(C4),ISNUMBER(D4)),C4-D4,"")</f>
        <v/>
      </c>
      <c r="F4" s="4" t="n">
        <v>100</v>
      </c>
      <c r="G4" s="3" t="s">
        <v>29</v>
      </c>
      <c r="H4" s="3" t="s">
        <v>54</v>
      </c>
    </row>
    <row r="5" customFormat="false" ht="15" hidden="false" customHeight="true" outlineLevel="0" collapsed="false">
      <c r="A5" s="3" t="s">
        <v>38</v>
      </c>
      <c r="B5" s="3" t="s">
        <v>27</v>
      </c>
      <c r="C5" s="4"/>
      <c r="D5" s="4"/>
      <c r="E5" s="4" t="str">
        <f aca="false">IF(AND(ISNUMBER(C5),ISNUMBER(D5)),C5-D5,"")</f>
        <v/>
      </c>
      <c r="F5" s="4"/>
      <c r="G5" s="3" t="s">
        <v>29</v>
      </c>
      <c r="H5" s="3" t="s">
        <v>55</v>
      </c>
    </row>
    <row r="7" customFormat="false" ht="15" hidden="false" customHeight="true" outlineLevel="0" collapsed="false">
      <c r="A7" s="5" t="s">
        <v>56</v>
      </c>
      <c r="C7" s="5" t="n">
        <f aca="false">SUM(C2:C5)</f>
        <v>1850</v>
      </c>
      <c r="D7" s="5" t="n">
        <f aca="false">SUM(D2:D5)</f>
        <v>925</v>
      </c>
      <c r="E7" s="5" t="n">
        <f aca="false">SUM(E2:E5)</f>
        <v>425</v>
      </c>
    </row>
    <row r="9" customFormat="false" ht="39.75" hidden="false" customHeight="true" outlineLevel="0" collapsed="false">
      <c r="A9" s="6" t="s">
        <v>57</v>
      </c>
      <c r="B9" s="6"/>
      <c r="C9" s="6"/>
      <c r="D9" s="6"/>
      <c r="E9" s="6"/>
      <c r="F9" s="6"/>
      <c r="G9" s="6"/>
      <c r="H9" s="6"/>
    </row>
  </sheetData>
  <mergeCells count="1">
    <mergeCell ref="A9:H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35"/>
  </cols>
  <sheetData>
    <row r="1" customFormat="false" ht="15" hidden="false" customHeight="true" outlineLevel="0" collapsed="false">
      <c r="A1" s="7" t="s">
        <v>42</v>
      </c>
      <c r="B1" s="7" t="s">
        <v>58</v>
      </c>
    </row>
    <row r="2" customFormat="false" ht="15" hidden="false" customHeight="true" outlineLevel="0" collapsed="false">
      <c r="A2" s="3" t="s">
        <v>15</v>
      </c>
      <c r="B2" s="3" t="s">
        <v>59</v>
      </c>
    </row>
    <row r="3" customFormat="false" ht="15" hidden="false" customHeight="true" outlineLevel="0" collapsed="false">
      <c r="A3" s="3" t="s">
        <v>51</v>
      </c>
      <c r="B3" s="3" t="s">
        <v>60</v>
      </c>
    </row>
    <row r="4" customFormat="false" ht="15" hidden="false" customHeight="true" outlineLevel="0" collapsed="false">
      <c r="A4" s="3" t="s">
        <v>31</v>
      </c>
      <c r="B4" s="3" t="s">
        <v>61</v>
      </c>
    </row>
    <row r="5" customFormat="false" ht="15" hidden="false" customHeight="true" outlineLevel="0" collapsed="false">
      <c r="A5" s="3" t="s">
        <v>38</v>
      </c>
      <c r="B5" s="3" t="s">
        <v>62</v>
      </c>
    </row>
    <row r="7" customFormat="false" ht="39.75" hidden="false" customHeight="true" outlineLevel="0" collapsed="false">
      <c r="A7" s="8" t="s">
        <v>63</v>
      </c>
      <c r="B7" s="8"/>
    </row>
  </sheetData>
  <mergeCells count="1">
    <mergeCell ref="A7:B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2026-09-18T07:10:47Z</dcterms:created>
  <dc:creator>openpyxl</dc:creator>
  <dc:description/>
  <dc:language>en-US</dc:language>
  <cp:lastModifiedBy/>
  <dcterms:modified xsi:type="dcterms:W3CDTF">2026-09-18T11:54:25Z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